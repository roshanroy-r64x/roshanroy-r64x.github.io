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osh\Downloads\"/>
    </mc:Choice>
  </mc:AlternateContent>
  <xr:revisionPtr revIDLastSave="0" documentId="13_ncr:1_{3F3FFF55-C079-4CA6-9F6A-479F984C4AC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7" i="1"/>
  <c r="G30" i="1" s="1"/>
</calcChain>
</file>

<file path=xl/sharedStrings.xml><?xml version="1.0" encoding="utf-8"?>
<sst xmlns="http://schemas.openxmlformats.org/spreadsheetml/2006/main" count="88" uniqueCount="41">
  <si>
    <t>Power Budget</t>
  </si>
  <si>
    <t>Team Number:</t>
  </si>
  <si>
    <t>204</t>
  </si>
  <si>
    <t>Project Name:</t>
  </si>
  <si>
    <t>Team 204 – Sensor Front End (Roshan)</t>
  </si>
  <si>
    <t>Team Member Names:</t>
  </si>
  <si>
    <t>Caleb Yuen, Roshan Roy Geoffrey Joe, Aaron Kiem, Quinn Maness</t>
  </si>
  <si>
    <t>Version:</t>
  </si>
  <si>
    <t>v1.0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</si>
  <si>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</si>
  <si>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</si>
  <si>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</si>
  <si>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</si>
  <si>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</si>
  <si>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</si>
  <si>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 (mA)</t>
  </si>
  <si>
    <t>Unit</t>
  </si>
  <si>
    <t>Microcontroller Board</t>
  </si>
  <si>
    <t>PIC18F57Q43 Curiosity Nano (DM182029)</t>
  </si>
  <si>
    <t>+5V</t>
  </si>
  <si>
    <t>mA</t>
  </si>
  <si>
    <t>5V Regulator</t>
  </si>
  <si>
    <t>5V Regulator (500 mA available)</t>
  </si>
  <si>
    <t>+8V to +24V → +5V</t>
  </si>
  <si>
    <t>+5V Power Rail</t>
  </si>
  <si>
    <t>Subtotal</t>
  </si>
  <si>
    <t>Safety Margin</t>
  </si>
  <si>
    <t>%</t>
  </si>
  <si>
    <t>Total Current Required on +5V Power Rail</t>
  </si>
  <si>
    <t>Regulator</t>
  </si>
  <si>
    <t>+5V regulator</t>
  </si>
  <si>
    <t>500 mA capable</t>
  </si>
  <si>
    <t>Total Remaining Current Available on +5V Power Rail</t>
  </si>
  <si>
    <t>Distance sensor</t>
  </si>
  <si>
    <t>GP2Y0A21YK0F</t>
  </si>
  <si>
    <t>Dual op amp</t>
  </si>
  <si>
    <t>MCP6002</t>
  </si>
  <si>
    <t>Debug LED</t>
  </si>
  <si>
    <t>LED (Red) + 330 Ω</t>
  </si>
  <si>
    <t>Bias Network</t>
  </si>
  <si>
    <t>RV1 10 k, R8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</si>
</sst>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A9D6"/>
        <bgColor indexed="64"/>
      </patternFill>
    </fill>
    <fill>
      <patternFill patternType="solid">
        <fgColor rgb="FFEEE9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A4" workbookViewId="0">
      <selection activeCell="K24" sqref="K24"/>
    </sheetView>
  </sheetViews>
  <sheetFormatPr defaultRowHeight="14.25" x14ac:dyDescent="0.45"/>
  <cols>
    <col min="1" max="1" width="4.73046875" customWidth="1"/>
    <col min="2" max="2" width="22.73046875" customWidth="1"/>
    <col min="3" max="3" width="52.6640625" bestFit="1" customWidth="1"/>
    <col min="4" max="4" width="20.73046875" customWidth="1"/>
    <col min="5" max="5" width="8.73046875" customWidth="1"/>
    <col min="6" max="6" width="34.86328125" bestFit="1" customWidth="1"/>
    <col min="7" max="7" width="16.73046875" customWidth="1"/>
    <col min="8" max="8" width="8.73046875" customWidth="1"/>
  </cols>
  <sheetData>
    <row r="1" spans="1:8" x14ac:dyDescent="0.4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45">
      <c r="A2" s="5"/>
      <c r="B2" s="5"/>
      <c r="C2" s="5"/>
      <c r="D2" s="5"/>
      <c r="E2" s="5"/>
      <c r="F2" s="5"/>
      <c r="G2" s="5"/>
      <c r="H2" s="5"/>
    </row>
    <row r="4" spans="1:8" x14ac:dyDescent="0.45">
      <c r="B4" s="1" t="s">
        <v>1</v>
      </c>
      <c r="C4" s="2" t="s">
        <v>2</v>
      </c>
    </row>
    <row r="5" spans="1:8" x14ac:dyDescent="0.45">
      <c r="B5" s="1" t="s">
        <v>3</v>
      </c>
      <c r="C5" s="2" t="s">
        <v>4</v>
      </c>
    </row>
    <row r="6" spans="1:8" x14ac:dyDescent="0.45">
      <c r="B6" s="1" t="s">
        <v>5</v>
      </c>
      <c r="C6" s="2" t="s">
        <v>6</v>
      </c>
    </row>
    <row r="7" spans="1:8" x14ac:dyDescent="0.45">
      <c r="B7" s="1" t="s">
        <v>7</v>
      </c>
      <c r="C7" s="2" t="s">
        <v>8</v>
      </c>
    </row>
    <row r="9" spans="1:8" x14ac:dyDescent="0.45">
      <c r="B9" s="6" t="s">
        <v>9</v>
      </c>
      <c r="C9" s="6"/>
      <c r="D9" s="6"/>
      <c r="E9" s="6"/>
      <c r="F9" s="6"/>
      <c r="G9" s="6"/>
      <c r="H9" s="6"/>
    </row>
    <row r="10" spans="1:8" x14ac:dyDescent="0.45"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</row>
    <row r="11" spans="1:8" x14ac:dyDescent="0.45">
      <c r="B11" s="2" t="s">
        <v>17</v>
      </c>
      <c r="C11" s="2" t="s">
        <v>18</v>
      </c>
      <c r="D11" s="2" t="s">
        <v>19</v>
      </c>
      <c r="E11" s="4">
        <v>1</v>
      </c>
      <c r="F11" s="4">
        <v>60</v>
      </c>
      <c r="G11" s="4">
        <v>50</v>
      </c>
      <c r="H11" s="4" t="s">
        <v>20</v>
      </c>
    </row>
    <row r="12" spans="1:8" x14ac:dyDescent="0.45">
      <c r="B12" s="2" t="s">
        <v>33</v>
      </c>
      <c r="C12" t="s">
        <v>34</v>
      </c>
      <c r="D12" s="8" t="s">
        <v>19</v>
      </c>
      <c r="E12" s="4">
        <v>1</v>
      </c>
      <c r="F12" s="4">
        <v>40</v>
      </c>
      <c r="G12" s="4">
        <v>30</v>
      </c>
      <c r="H12" s="4" t="s">
        <v>20</v>
      </c>
    </row>
    <row r="13" spans="1:8" x14ac:dyDescent="0.45">
      <c r="B13" s="2" t="s">
        <v>35</v>
      </c>
      <c r="C13" s="2" t="s">
        <v>36</v>
      </c>
      <c r="D13" s="2" t="s">
        <v>19</v>
      </c>
      <c r="E13" s="4">
        <v>1</v>
      </c>
      <c r="F13" s="4">
        <v>2</v>
      </c>
      <c r="G13" s="4">
        <v>1</v>
      </c>
      <c r="H13" s="4" t="s">
        <v>20</v>
      </c>
    </row>
    <row r="14" spans="1:8" x14ac:dyDescent="0.45">
      <c r="B14" s="2" t="s">
        <v>39</v>
      </c>
      <c r="C14" t="s">
        <v>40</v>
      </c>
      <c r="D14" s="2" t="s">
        <v>19</v>
      </c>
      <c r="E14" s="4">
        <v>1</v>
      </c>
      <c r="F14" s="4">
        <v>5</v>
      </c>
      <c r="G14" s="4">
        <v>2</v>
      </c>
      <c r="H14" s="4" t="s">
        <v>20</v>
      </c>
    </row>
    <row r="15" spans="1:8" x14ac:dyDescent="0.45">
      <c r="B15" s="2" t="s">
        <v>37</v>
      </c>
      <c r="C15" s="2" t="s">
        <v>38</v>
      </c>
      <c r="D15" s="2" t="s">
        <v>19</v>
      </c>
      <c r="E15" s="4">
        <v>1</v>
      </c>
      <c r="F15" s="4">
        <v>20</v>
      </c>
      <c r="G15" s="4">
        <v>10</v>
      </c>
      <c r="H15" s="4" t="s">
        <v>20</v>
      </c>
    </row>
    <row r="16" spans="1:8" x14ac:dyDescent="0.45">
      <c r="B16" s="2" t="s">
        <v>21</v>
      </c>
      <c r="C16" s="2" t="s">
        <v>22</v>
      </c>
      <c r="D16" s="2" t="s">
        <v>23</v>
      </c>
      <c r="E16" s="4">
        <v>1</v>
      </c>
      <c r="F16" s="4">
        <v>500</v>
      </c>
      <c r="G16" s="4">
        <v>500</v>
      </c>
      <c r="H16" s="4" t="s">
        <v>20</v>
      </c>
    </row>
    <row r="18" spans="2:8" x14ac:dyDescent="0.45">
      <c r="B18" s="6" t="s">
        <v>24</v>
      </c>
      <c r="C18" s="6"/>
      <c r="D18" s="6"/>
      <c r="E18" s="6"/>
      <c r="F18" s="6"/>
      <c r="G18" s="6"/>
      <c r="H18" s="6"/>
    </row>
    <row r="19" spans="2:8" x14ac:dyDescent="0.45"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15</v>
      </c>
      <c r="H19" s="3" t="s">
        <v>16</v>
      </c>
    </row>
    <row r="20" spans="2:8" x14ac:dyDescent="0.45">
      <c r="B20" s="2" t="s">
        <v>17</v>
      </c>
      <c r="C20" s="2" t="s">
        <v>18</v>
      </c>
      <c r="D20" s="2" t="s">
        <v>19</v>
      </c>
      <c r="E20" s="4">
        <v>1</v>
      </c>
      <c r="F20" s="4">
        <v>50</v>
      </c>
      <c r="G20" s="4">
        <v>50</v>
      </c>
      <c r="H20" s="4" t="s">
        <v>20</v>
      </c>
    </row>
    <row r="21" spans="2:8" x14ac:dyDescent="0.45">
      <c r="B21" s="2" t="s">
        <v>33</v>
      </c>
      <c r="C21" t="s">
        <v>34</v>
      </c>
      <c r="D21" s="2" t="s">
        <v>19</v>
      </c>
      <c r="E21" s="4">
        <v>1</v>
      </c>
      <c r="F21" s="4">
        <v>40</v>
      </c>
      <c r="G21" s="4">
        <v>30</v>
      </c>
      <c r="H21" s="4" t="s">
        <v>20</v>
      </c>
    </row>
    <row r="22" spans="2:8" x14ac:dyDescent="0.45">
      <c r="B22" s="2" t="s">
        <v>35</v>
      </c>
      <c r="C22" s="2" t="s">
        <v>36</v>
      </c>
      <c r="D22" s="2" t="s">
        <v>19</v>
      </c>
      <c r="E22" s="4">
        <v>1</v>
      </c>
      <c r="F22" s="4">
        <v>2</v>
      </c>
      <c r="G22" s="4">
        <v>1</v>
      </c>
      <c r="H22" s="4" t="s">
        <v>20</v>
      </c>
    </row>
    <row r="23" spans="2:8" x14ac:dyDescent="0.45">
      <c r="B23" s="2" t="s">
        <v>39</v>
      </c>
      <c r="C23" t="s">
        <v>40</v>
      </c>
      <c r="D23" s="2" t="s">
        <v>19</v>
      </c>
      <c r="E23" s="4">
        <v>1</v>
      </c>
      <c r="F23" s="4">
        <v>5</v>
      </c>
      <c r="G23" s="4">
        <v>2</v>
      </c>
      <c r="H23" s="4" t="s">
        <v>20</v>
      </c>
    </row>
    <row r="24" spans="2:8" x14ac:dyDescent="0.45">
      <c r="B24" s="2" t="s">
        <v>37</v>
      </c>
      <c r="C24" s="2" t="s">
        <v>38</v>
      </c>
      <c r="D24" s="2" t="s">
        <v>19</v>
      </c>
      <c r="E24" s="4">
        <v>1</v>
      </c>
      <c r="F24" s="4">
        <v>20</v>
      </c>
      <c r="G24" s="4">
        <v>10</v>
      </c>
      <c r="H24" s="4" t="s">
        <v>20</v>
      </c>
    </row>
    <row r="25" spans="2:8" x14ac:dyDescent="0.45">
      <c r="F25" s="1" t="s">
        <v>25</v>
      </c>
      <c r="G25" s="1">
        <f>SUM(G20:G24)</f>
        <v>93</v>
      </c>
      <c r="H25" s="1" t="s">
        <v>20</v>
      </c>
    </row>
    <row r="26" spans="2:8" x14ac:dyDescent="0.45">
      <c r="F26" s="1" t="s">
        <v>26</v>
      </c>
      <c r="G26" s="1">
        <v>25</v>
      </c>
      <c r="H26" s="1" t="s">
        <v>27</v>
      </c>
    </row>
    <row r="27" spans="2:8" x14ac:dyDescent="0.45">
      <c r="F27" s="1" t="s">
        <v>28</v>
      </c>
      <c r="G27" s="1">
        <f>G25*((G26/100) + 1)</f>
        <v>116.25</v>
      </c>
      <c r="H27" s="1" t="s">
        <v>20</v>
      </c>
    </row>
    <row r="28" spans="2:8" x14ac:dyDescent="0.45">
      <c r="B28" s="3" t="s">
        <v>29</v>
      </c>
      <c r="C28" s="3" t="s">
        <v>10</v>
      </c>
      <c r="D28" s="3" t="s">
        <v>11</v>
      </c>
      <c r="E28" s="3" t="s">
        <v>13</v>
      </c>
      <c r="F28" s="3" t="s">
        <v>14</v>
      </c>
      <c r="G28" s="3" t="s">
        <v>15</v>
      </c>
      <c r="H28" s="3" t="s">
        <v>16</v>
      </c>
    </row>
    <row r="29" spans="2:8" x14ac:dyDescent="0.45">
      <c r="B29" s="2" t="s">
        <v>29</v>
      </c>
      <c r="C29" s="2" t="s">
        <v>30</v>
      </c>
      <c r="D29" s="2" t="s">
        <v>31</v>
      </c>
      <c r="E29" s="4">
        <v>1</v>
      </c>
      <c r="F29" s="4">
        <v>500</v>
      </c>
      <c r="G29" s="4">
        <v>500</v>
      </c>
      <c r="H29" s="4" t="s">
        <v>20</v>
      </c>
    </row>
    <row r="30" spans="2:8" x14ac:dyDescent="0.45">
      <c r="B30" s="7" t="s">
        <v>32</v>
      </c>
      <c r="C30" s="7"/>
      <c r="D30" s="7"/>
      <c r="E30" s="7"/>
      <c r="F30" s="1"/>
      <c r="G30" s="1">
        <f>G29-G27</f>
        <v>383.75</v>
      </c>
      <c r="H30" s="1" t="s">
        <v>20</v>
      </c>
    </row>
  </sheetData>
  <mergeCells count="4">
    <mergeCell ref="A1:H2"/>
    <mergeCell ref="B9:H9"/>
    <mergeCell ref="B18:H18"/>
    <mergeCell ref="B30:E30"/>
  </mergeCells>
  <pageMargins left="0.7" right="0.7" top="0.75" bottom="0.75" header="0.3" footer="0.3"/>
  <pageSetup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Roshan Geoffrey Joe (Student)</cp:lastModifiedBy>
  <cp:lastPrinted>2025-12-09T05:54:37Z</cp:lastPrinted>
  <dcterms:created xsi:type="dcterms:W3CDTF">2025-10-28T23:56:10Z</dcterms:created>
  <dcterms:modified xsi:type="dcterms:W3CDTF">2025-12-09T06:00:19Z</dcterms:modified>
</cp:coreProperties>
</file>